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30430"/>
  <workbookPr filterPrivacy="1" hidePivotFieldList="1" defaultThemeVersion="124226"/>
  <xr:revisionPtr revIDLastSave="156" documentId="8_{72188D4B-940E-4143-BB92-355846179DA1}" xr6:coauthVersionLast="47" xr6:coauthVersionMax="47" xr10:uidLastSave="{ECE8BED0-0F41-4897-9A75-F5F3F1FD47F3}"/>
  <bookViews>
    <workbookView xWindow="-108" yWindow="-108" windowWidth="23256" windowHeight="12456" activeTab="1" xr2:uid="{00000000-000D-0000-FFFF-FFFF00000000}"/>
  </bookViews>
  <sheets>
    <sheet name="Tasks" sheetId="2" r:id="rId1"/>
    <sheet name="SimulatedData" sheetId="1" r:id="rId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4" i="1" l="1"/>
  <c r="G5" i="1"/>
  <c r="E3" i="1"/>
  <c r="G7" i="1"/>
  <c r="E4" i="1"/>
  <c r="F4" i="1"/>
  <c r="E5" i="1"/>
  <c r="F5" i="1"/>
  <c r="E6" i="1"/>
  <c r="F6" i="1"/>
  <c r="G6" i="1"/>
  <c r="E7" i="1"/>
  <c r="F7" i="1"/>
  <c r="E8" i="1"/>
  <c r="F8" i="1"/>
  <c r="G8" i="1"/>
  <c r="E9" i="1"/>
  <c r="F9" i="1"/>
  <c r="G9" i="1"/>
  <c r="E10" i="1"/>
  <c r="F10" i="1"/>
  <c r="G10" i="1"/>
  <c r="E11" i="1"/>
  <c r="F11" i="1"/>
  <c r="G11" i="1"/>
  <c r="E12" i="1"/>
  <c r="F12" i="1"/>
  <c r="G12" i="1"/>
  <c r="E13" i="1"/>
  <c r="F13" i="1"/>
  <c r="G13" i="1"/>
  <c r="E14" i="1"/>
  <c r="F14" i="1"/>
  <c r="G14" i="1"/>
  <c r="E15" i="1"/>
  <c r="F15" i="1"/>
  <c r="G15" i="1"/>
  <c r="E16" i="1"/>
  <c r="F16" i="1"/>
  <c r="G16" i="1"/>
  <c r="E17" i="1"/>
  <c r="F17" i="1"/>
  <c r="G17" i="1"/>
  <c r="E18" i="1"/>
  <c r="F18" i="1"/>
  <c r="G18" i="1"/>
  <c r="E19" i="1"/>
  <c r="F19" i="1"/>
  <c r="G19" i="1"/>
  <c r="E20" i="1"/>
  <c r="F20" i="1"/>
  <c r="G20" i="1"/>
  <c r="E21" i="1"/>
  <c r="F21" i="1"/>
  <c r="G21" i="1"/>
  <c r="E22" i="1"/>
  <c r="F22" i="1"/>
  <c r="G22" i="1"/>
  <c r="E23" i="1"/>
  <c r="F23" i="1"/>
  <c r="G23" i="1"/>
  <c r="E24" i="1"/>
  <c r="F24" i="1"/>
  <c r="G24" i="1"/>
  <c r="E25" i="1"/>
  <c r="F25" i="1"/>
  <c r="G25" i="1"/>
  <c r="E26" i="1"/>
  <c r="F26" i="1"/>
  <c r="G26" i="1"/>
  <c r="E27" i="1"/>
  <c r="F27" i="1"/>
  <c r="G27" i="1"/>
  <c r="E28" i="1"/>
  <c r="F28" i="1"/>
  <c r="G28" i="1"/>
  <c r="E29" i="1"/>
  <c r="F29" i="1"/>
  <c r="G29" i="1"/>
  <c r="E30" i="1"/>
  <c r="F30" i="1"/>
  <c r="G30" i="1"/>
  <c r="E31" i="1"/>
  <c r="F31" i="1"/>
  <c r="G31" i="1"/>
  <c r="E32" i="1"/>
  <c r="F32" i="1"/>
  <c r="G32" i="1"/>
  <c r="E33" i="1"/>
  <c r="F33" i="1"/>
  <c r="G33" i="1"/>
  <c r="E34" i="1"/>
  <c r="F34" i="1"/>
  <c r="G34" i="1"/>
  <c r="E35" i="1"/>
  <c r="F35" i="1"/>
  <c r="G35" i="1"/>
  <c r="E36" i="1"/>
  <c r="F36" i="1"/>
  <c r="G36" i="1"/>
  <c r="E37" i="1"/>
  <c r="F37" i="1"/>
  <c r="G37" i="1"/>
  <c r="E38" i="1"/>
  <c r="F38" i="1"/>
  <c r="G38" i="1"/>
  <c r="E39" i="1"/>
  <c r="F39" i="1"/>
  <c r="G39" i="1"/>
  <c r="E40" i="1"/>
  <c r="F40" i="1"/>
  <c r="G40" i="1"/>
  <c r="E41" i="1"/>
  <c r="F41" i="1"/>
  <c r="G41" i="1"/>
  <c r="E42" i="1"/>
  <c r="F42" i="1"/>
  <c r="G42" i="1"/>
  <c r="E43" i="1"/>
  <c r="F43" i="1"/>
  <c r="G43" i="1"/>
  <c r="E44" i="1"/>
  <c r="F44" i="1"/>
  <c r="G44" i="1"/>
  <c r="E45" i="1"/>
  <c r="F45" i="1"/>
  <c r="G45" i="1"/>
  <c r="E46" i="1"/>
  <c r="F46" i="1"/>
  <c r="G46" i="1"/>
  <c r="E47" i="1"/>
  <c r="F47" i="1"/>
  <c r="G47" i="1"/>
  <c r="E48" i="1"/>
  <c r="F48" i="1"/>
  <c r="G48" i="1"/>
  <c r="E49" i="1"/>
  <c r="F49" i="1"/>
  <c r="G49" i="1"/>
  <c r="E50" i="1"/>
  <c r="F50" i="1"/>
  <c r="G50" i="1"/>
  <c r="E51" i="1"/>
  <c r="F51" i="1"/>
  <c r="G51" i="1"/>
  <c r="E52" i="1"/>
  <c r="F52" i="1"/>
  <c r="G52" i="1"/>
  <c r="E53" i="1"/>
  <c r="F53" i="1"/>
  <c r="G53" i="1"/>
  <c r="E54" i="1"/>
  <c r="F54" i="1"/>
  <c r="G54" i="1"/>
  <c r="E55" i="1"/>
  <c r="F55" i="1"/>
  <c r="G55" i="1"/>
  <c r="E56" i="1"/>
  <c r="F56" i="1"/>
  <c r="G56" i="1"/>
  <c r="E57" i="1"/>
  <c r="F57" i="1"/>
  <c r="G57" i="1"/>
  <c r="E58" i="1"/>
  <c r="F58" i="1"/>
  <c r="G58" i="1"/>
  <c r="E59" i="1"/>
  <c r="F59" i="1"/>
  <c r="G59" i="1"/>
  <c r="E60" i="1"/>
  <c r="F60" i="1"/>
  <c r="G60" i="1"/>
  <c r="E61" i="1"/>
  <c r="F61" i="1"/>
  <c r="G61" i="1"/>
  <c r="E62" i="1"/>
  <c r="F62" i="1"/>
  <c r="G62" i="1"/>
  <c r="E63" i="1"/>
  <c r="F63" i="1"/>
  <c r="G63" i="1"/>
  <c r="E64" i="1"/>
  <c r="F64" i="1"/>
  <c r="G64" i="1"/>
  <c r="E65" i="1"/>
  <c r="F65" i="1"/>
  <c r="G65" i="1"/>
  <c r="E66" i="1"/>
  <c r="F66" i="1"/>
  <c r="G66" i="1"/>
  <c r="E67" i="1"/>
  <c r="F67" i="1"/>
  <c r="G67" i="1"/>
  <c r="E68" i="1"/>
  <c r="F68" i="1"/>
  <c r="G68" i="1"/>
  <c r="E69" i="1"/>
  <c r="F69" i="1"/>
  <c r="G69" i="1"/>
  <c r="E70" i="1"/>
  <c r="F70" i="1"/>
  <c r="G70" i="1"/>
  <c r="E71" i="1"/>
  <c r="F71" i="1"/>
  <c r="G71" i="1"/>
  <c r="E72" i="1"/>
  <c r="F72" i="1"/>
  <c r="G72" i="1"/>
  <c r="F3" i="1"/>
  <c r="G3" i="1"/>
</calcChain>
</file>

<file path=xl/sharedStrings.xml><?xml version="1.0" encoding="utf-8"?>
<sst xmlns="http://schemas.openxmlformats.org/spreadsheetml/2006/main" count="25" uniqueCount="23">
  <si>
    <t>ShareClass1</t>
  </si>
  <si>
    <t>ShareClass2</t>
  </si>
  <si>
    <t>Benchmark</t>
  </si>
  <si>
    <t>Date</t>
  </si>
  <si>
    <r>
      <t>Goal:</t>
    </r>
    <r>
      <rPr>
        <sz val="11"/>
        <color rgb="FF003A57"/>
        <rFont val="Calibri"/>
        <family val="2"/>
        <scheme val="minor"/>
      </rPr>
      <t xml:space="preserve"> Visualize the track records of the two share classes and the benchmark together in a single plot.</t>
    </r>
  </si>
  <si>
    <t>Try to make them comparable, since the price levels are quite different.</t>
  </si>
  <si>
    <t>Hints:</t>
  </si>
  <si>
    <r>
      <t>Goal:</t>
    </r>
    <r>
      <rPr>
        <sz val="11"/>
        <color rgb="FF003A57"/>
        <rFont val="Calibri"/>
        <family val="2"/>
        <scheme val="minor"/>
      </rPr>
      <t xml:space="preserve"> Provide performance measures to compare the two share classes and the benchmark.</t>
    </r>
  </si>
  <si>
    <t>The team is particularly interested in:</t>
  </si>
  <si>
    <r>
      <t xml:space="preserve">a) The </t>
    </r>
    <r>
      <rPr>
        <b/>
        <sz val="11"/>
        <color rgb="FF003A57"/>
        <rFont val="Calibri"/>
        <family val="2"/>
        <scheme val="minor"/>
      </rPr>
      <t>Year-to-Date (YTD) returns</t>
    </r>
    <r>
      <rPr>
        <sz val="11"/>
        <color rgb="FF003A57"/>
        <rFont val="Calibri"/>
        <family val="2"/>
        <scheme val="minor"/>
      </rPr>
      <t xml:space="preserve"> for 2025</t>
    </r>
  </si>
  <si>
    <t>Task 1 Visualization</t>
  </si>
  <si>
    <t>Task 2 Basic KPIs</t>
  </si>
  <si>
    <t>Important: since annualized figures are required, please adjust accordingly and be able to explain how you calculated them.</t>
  </si>
  <si>
    <t>These are price series, so you might want to have monthly percentage changes first.</t>
  </si>
  <si>
    <t>c) Compute correlation of the two fund and the index,  Based on your calculation, which one is more sensitive to market movement</t>
  </si>
  <si>
    <r>
      <t xml:space="preserve">b) The </t>
    </r>
    <r>
      <rPr>
        <b/>
        <sz val="11"/>
        <color rgb="FF003A57"/>
        <rFont val="Calibri"/>
        <family val="2"/>
        <scheme val="minor"/>
      </rPr>
      <t>performance and risk</t>
    </r>
    <r>
      <rPr>
        <sz val="11"/>
        <color rgb="FF003A57"/>
        <rFont val="Calibri"/>
        <family val="2"/>
        <scheme val="minor"/>
      </rPr>
      <t xml:space="preserve"> over the selected period — ideally expressed in </t>
    </r>
    <r>
      <rPr>
        <b/>
        <sz val="11"/>
        <color rgb="FF003A57"/>
        <rFont val="Calibri"/>
        <family val="2"/>
        <scheme val="minor"/>
      </rPr>
      <t>annualized terms</t>
    </r>
  </si>
  <si>
    <t>Setting a common starting point for three trackcord could help make them more comparable, e.g., at 1 or 100 like the picture here?</t>
  </si>
  <si>
    <r>
      <t xml:space="preserve">•	Case Study
</t>
    </r>
    <r>
      <rPr>
        <sz val="11"/>
        <color rgb="FF003A57"/>
        <rFont val="Calibri"/>
        <family val="2"/>
        <scheme val="minor"/>
      </rPr>
      <t xml:space="preserve">The Presentation Desk team needs your help to deliver the following results:
</t>
    </r>
  </si>
  <si>
    <t>Think about common measures for return and risk — and a famous ratio used in finance, assume 0% risk free</t>
  </si>
  <si>
    <r>
      <t xml:space="preserve">•	Description
</t>
    </r>
    <r>
      <rPr>
        <sz val="11"/>
        <color rgb="FF003A57"/>
        <rFont val="Calibri"/>
        <family val="2"/>
        <scheme val="minor"/>
      </rPr>
      <t>The dataset consists of monthly NAVs (Net Asset Values) for share classes and a monthly market index as a benchmark.</t>
    </r>
    <r>
      <rPr>
        <b/>
        <sz val="11"/>
        <color rgb="FF003A57"/>
        <rFont val="Calibri"/>
        <family val="2"/>
        <scheme val="minor"/>
      </rPr>
      <t xml:space="preserve"> </t>
    </r>
    <r>
      <rPr>
        <sz val="11"/>
        <color rgb="FF003A57"/>
        <rFont val="Calibri"/>
        <family val="2"/>
        <scheme val="minor"/>
      </rPr>
      <t>Assume they are already in the same currency</t>
    </r>
    <r>
      <rPr>
        <b/>
        <sz val="11"/>
        <color rgb="FF003A57"/>
        <rFont val="Calibri"/>
        <family val="2"/>
        <scheme val="minor"/>
      </rPr>
      <t>.</t>
    </r>
  </si>
  <si>
    <r>
      <t>•	Requirements – What We Expect from You
A</t>
    </r>
    <r>
      <rPr>
        <sz val="11"/>
        <color rgb="FF003A57"/>
        <rFont val="Calibri"/>
        <family val="2"/>
        <scheme val="minor"/>
      </rPr>
      <t xml:space="preserve">nswert the below questions and try to answer </t>
    </r>
    <r>
      <rPr>
        <b/>
        <i/>
        <sz val="11"/>
        <color rgb="FF003A57"/>
        <rFont val="Calibri"/>
        <family val="2"/>
        <scheme val="minor"/>
      </rPr>
      <t>as many</t>
    </r>
    <r>
      <rPr>
        <sz val="11"/>
        <color rgb="FF003A57"/>
        <rFont val="Calibri"/>
        <family val="2"/>
        <scheme val="minor"/>
      </rPr>
      <t xml:space="preserve"> as you can with a power bi report. If some part is too complicated to carry in power bi, feel free to do it in excel and python. Please share with us the report, excel or python notebook prior to our call.</t>
    </r>
    <r>
      <rPr>
        <b/>
        <sz val="11"/>
        <color rgb="FF003A57"/>
        <rFont val="Calibri"/>
        <family val="2"/>
        <scheme val="minor"/>
      </rPr>
      <t xml:space="preserve">
</t>
    </r>
    <r>
      <rPr>
        <b/>
        <i/>
        <sz val="11"/>
        <color rgb="FF003A57"/>
        <rFont val="Calibri"/>
        <family val="2"/>
        <scheme val="minor"/>
      </rPr>
      <t xml:space="preserve">
Totally Optional</t>
    </r>
    <r>
      <rPr>
        <sz val="11"/>
        <color rgb="FF003A57"/>
        <rFont val="Calibri"/>
        <family val="2"/>
        <scheme val="minor"/>
      </rPr>
      <t xml:space="preserve"> if possible - make the dasboard dynamic so that user can choose start date/end date and the report will recalculate and report accordingly, e.g., if user want to focus on 30.06.2020-30.06.2025, then he would be able to do so by changing the date filter (see the example snapshot next to Task 1 Description)</t>
    </r>
  </si>
  <si>
    <t>SC1_Retun</t>
  </si>
  <si>
    <t>SC2_Return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</si>
</sst>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43" formatCode="_-* #,##0.00_-;\-* #,##0.00_-;_-* &quot;-&quot;??_-;_-@_-"/>
  </numFmts>
  <fonts count="7" x14ac:knownFonts="1">
    <font>
      <sz val="11"/>
      <color theme="1"/>
      <name val="Calibri"/>
      <family val="2"/>
      <scheme val="minor"/>
    </font>
    <font>
      <sz val="11"/>
      <color theme="1"/>
      <name val="Calibri"/>
      <family val="2"/>
      <scheme val="minor"/>
    </font>
    <font>
      <sz val="11"/>
      <color rgb="FF003A57"/>
      <name val="Calibri"/>
      <family val="2"/>
      <scheme val="minor"/>
    </font>
    <font>
      <b/>
      <sz val="11"/>
      <color rgb="FF003A57"/>
      <name val="Calibri"/>
      <family val="2"/>
      <scheme val="minor"/>
    </font>
    <font>
      <i/>
      <sz val="11"/>
      <color rgb="FF003A57"/>
      <name val="Calibri"/>
      <family val="2"/>
      <scheme val="minor"/>
    </font>
    <font>
      <b/>
      <i/>
      <sz val="11"/>
      <color rgb="FF003A57"/>
      <name val="Calibri"/>
      <family val="2"/>
      <scheme val="minor"/>
    </font>
    <font>
      <b/>
      <sz val="11"/>
      <color theme="0"/>
      <name val="Calibri"/>
      <family val="2"/>
      <scheme val="minor"/>
    </font>
  </fonts>
  <fills count="5">
    <fill>
      <patternFill patternType="none"/>
    </fill>
    <fill>
      <patternFill patternType="gray125"/>
    </fill>
    <fill>
      <patternFill patternType="solid">
        <fgColor theme="4"/>
        <bgColor theme="4"/>
      </patternFill>
    </fill>
    <fill>
      <patternFill patternType="solid">
        <fgColor theme="4" tint="0.59999389629810485"/>
        <bgColor theme="4" tint="0.59999389629810485"/>
      </patternFill>
    </fill>
    <fill>
      <patternFill patternType="solid">
        <fgColor theme="4" tint="0.79998168889431442"/>
        <bgColor theme="4" tint="0.79998168889431442"/>
      </patternFill>
    </fill>
  </fills>
  <borders count="8">
    <border>
      <left/>
      <right/>
      <top/>
      <bottom/>
      <diagonal/>
    </border>
    <border>
      <left/>
      <right/>
      <top style="thin">
        <color auto="1"/>
      </top>
      <bottom/>
      <diagonal/>
    </border>
    <border>
      <left style="thin">
        <color theme="0"/>
      </left>
      <right/>
      <top style="thin">
        <color theme="0"/>
      </top>
      <bottom/>
      <diagonal/>
    </border>
    <border>
      <left style="thin">
        <color auto="1"/>
      </left>
      <right/>
      <top style="thin">
        <color auto="1"/>
      </top>
      <bottom/>
      <diagonal/>
    </border>
    <border>
      <left style="thin">
        <color auto="1"/>
      </left>
      <right style="thin">
        <color auto="1"/>
      </right>
      <top style="thin">
        <color auto="1"/>
      </top>
      <bottom/>
      <diagonal/>
    </border>
    <border>
      <left style="thin">
        <color theme="0"/>
      </left>
      <right/>
      <top style="thin">
        <color auto="1"/>
      </top>
      <bottom/>
      <diagonal/>
    </border>
    <border>
      <left/>
      <right/>
      <top style="thin">
        <color theme="0"/>
      </top>
      <bottom/>
      <diagonal/>
    </border>
    <border>
      <left style="thin">
        <color auto="1"/>
      </left>
      <right style="thin">
        <color auto="1"/>
      </right>
      <top/>
      <bottom/>
      <diagonal/>
    </border>
  </borders>
  <cellStyleXfs count="3">
    <xf numFmtId="0" fontId="0" fillId="0" borderId="0"/>
    <xf numFmtId="43" fontId="1" fillId="0" borderId="0" applyFont="0" applyFill="0" applyBorder="0" applyAlignment="0" applyProtection="0"/>
    <xf numFmtId="9" fontId="1" fillId="0" borderId="0" applyFont="0" applyFill="0" applyBorder="0" applyAlignment="0" applyProtection="0"/>
  </cellStyleXfs>
  <cellXfs count="19">
    <xf numFmtId="0" fontId="0" fillId="0" borderId="0" xfId="0"/>
    <xf numFmtId="14" fontId="0" fillId="0" borderId="0" xfId="1" applyNumberFormat="1" applyFont="1"/>
    <xf numFmtId="0" fontId="3" fillId="0" borderId="0" xfId="0" applyFont="1" applyAlignment="1">
      <alignment vertical="center"/>
    </xf>
    <xf numFmtId="0" fontId="2" fillId="0" borderId="0" xfId="0" applyFont="1" applyAlignment="1">
      <alignment vertical="center"/>
    </xf>
    <xf numFmtId="0" fontId="2" fillId="0" borderId="0" xfId="0" applyFont="1" applyAlignment="1">
      <alignment horizontal="left" vertical="center" indent="1"/>
    </xf>
    <xf numFmtId="0" fontId="3" fillId="0" borderId="0" xfId="0" applyFont="1" applyAlignment="1">
      <alignment horizontal="left" vertical="center" indent="1"/>
    </xf>
    <xf numFmtId="0" fontId="3" fillId="0" borderId="0" xfId="0" applyFont="1" applyAlignment="1">
      <alignment horizontal="left" vertical="center" wrapText="1" indent="1"/>
    </xf>
    <xf numFmtId="0" fontId="4" fillId="0" borderId="0" xfId="0" applyFont="1" applyAlignment="1">
      <alignment horizontal="left" vertical="center" indent="1"/>
    </xf>
    <xf numFmtId="0" fontId="0" fillId="3" borderId="2" xfId="0" applyFill="1" applyBorder="1"/>
    <xf numFmtId="14" fontId="6" fillId="2" borderId="3" xfId="1" applyNumberFormat="1" applyFont="1" applyFill="1" applyBorder="1" applyAlignment="1">
      <alignment horizontal="center" vertical="top"/>
    </xf>
    <xf numFmtId="0" fontId="6" fillId="2" borderId="3" xfId="0" applyFont="1" applyFill="1" applyBorder="1" applyAlignment="1">
      <alignment horizontal="center" vertical="top"/>
    </xf>
    <xf numFmtId="0" fontId="6" fillId="2" borderId="4" xfId="0" applyFont="1" applyFill="1" applyBorder="1" applyAlignment="1">
      <alignment horizontal="center" vertical="top"/>
    </xf>
    <xf numFmtId="14" fontId="0" fillId="3" borderId="1" xfId="1" applyNumberFormat="1" applyFont="1" applyFill="1" applyBorder="1"/>
    <xf numFmtId="0" fontId="0" fillId="3" borderId="5" xfId="0" applyFill="1" applyBorder="1"/>
    <xf numFmtId="14" fontId="0" fillId="4" borderId="6" xfId="1" applyNumberFormat="1" applyFont="1" applyFill="1" applyBorder="1"/>
    <xf numFmtId="0" fontId="0" fillId="4" borderId="2" xfId="0" applyFill="1" applyBorder="1"/>
    <xf numFmtId="14" fontId="0" fillId="3" borderId="6" xfId="1" applyNumberFormat="1" applyFont="1" applyFill="1" applyBorder="1"/>
    <xf numFmtId="0" fontId="6" fillId="2" borderId="7" xfId="0" applyFont="1" applyFill="1" applyBorder="1" applyAlignment="1">
      <alignment horizontal="center" vertical="top"/>
    </xf>
    <xf numFmtId="10" fontId="0" fillId="0" borderId="0" xfId="2" applyNumberFormat="1" applyFont="1"/>
  </cellXfs>
  <cellStyles count="3">
    <cellStyle name="Comma" xfId="1" builtinId="3"/>
    <cellStyle name="Normal" xfId="0" builtinId="0"/>
    <cellStyle name="Percent" xfId="2" builtinId="5"/>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17/10/relationships/person" Target="persons/person.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1</xdr:col>
      <xdr:colOff>226548</xdr:colOff>
      <xdr:row>3</xdr:row>
      <xdr:rowOff>84906</xdr:rowOff>
    </xdr:from>
    <xdr:to>
      <xdr:col>11</xdr:col>
      <xdr:colOff>169922</xdr:colOff>
      <xdr:row>12</xdr:row>
      <xdr:rowOff>122652</xdr:rowOff>
    </xdr:to>
    <xdr:pic>
      <xdr:nvPicPr>
        <xdr:cNvPr id="6" name="Picture 5">
          <a:extLst>
            <a:ext uri="{FF2B5EF4-FFF2-40B4-BE49-F238E27FC236}">
              <a16:creationId xmlns:a16="http://schemas.microsoft.com/office/drawing/2014/main" id="{F5DCB4F5-BD94-D782-AEBD-D466561735A6}"/>
            </a:ext>
          </a:extLst>
        </xdr:cNvPr>
        <xdr:cNvPicPr>
          <a:picLocks noChangeAspect="1"/>
        </xdr:cNvPicPr>
      </xdr:nvPicPr>
      <xdr:blipFill>
        <a:blip xmlns:r="http://schemas.openxmlformats.org/officeDocument/2006/relationships" r:embed="rId1"/>
        <a:stretch>
          <a:fillRect/>
        </a:stretch>
      </xdr:blipFill>
      <xdr:spPr>
        <a:xfrm>
          <a:off x="8465673" y="2247081"/>
          <a:ext cx="6229874" cy="2028471"/>
        </a:xfrm>
        <a:prstGeom prst="rect">
          <a:avLst/>
        </a:prstGeom>
      </xdr:spPr>
    </xdr:pic>
    <xdr:clientData/>
  </xdr:twoCellAnchor>
</xdr:wsDr>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9539E8-2145-4658-99A5-4C3C6DEE6CC3}">
  <dimension ref="A1:A26"/>
  <sheetViews>
    <sheetView topLeftCell="A2" zoomScaleNormal="100" workbookViewId="0">
      <selection activeCell="A24" sqref="A24"/>
    </sheetView>
  </sheetViews>
  <sheetFormatPr defaultColWidth="9.109375" defaultRowHeight="14.4" x14ac:dyDescent="0.3"/>
  <cols>
    <col min="1" max="1" width="120.109375" customWidth="1"/>
  </cols>
  <sheetData>
    <row r="1" spans="1:1" ht="43.2" x14ac:dyDescent="0.3">
      <c r="A1" s="6" t="s">
        <v>19</v>
      </c>
    </row>
    <row r="3" spans="1:1" ht="113.25" customHeight="1" x14ac:dyDescent="0.3">
      <c r="A3" s="6" t="s">
        <v>20</v>
      </c>
    </row>
    <row r="4" spans="1:1" ht="13.5" customHeight="1" x14ac:dyDescent="0.3"/>
    <row r="5" spans="1:1" ht="43.2" x14ac:dyDescent="0.3">
      <c r="A5" s="6" t="s">
        <v>17</v>
      </c>
    </row>
    <row r="6" spans="1:1" x14ac:dyDescent="0.3">
      <c r="A6" s="5" t="s">
        <v>10</v>
      </c>
    </row>
    <row r="7" spans="1:1" x14ac:dyDescent="0.3">
      <c r="A7" s="2" t="s">
        <v>4</v>
      </c>
    </row>
    <row r="8" spans="1:1" x14ac:dyDescent="0.3">
      <c r="A8" s="3" t="s">
        <v>5</v>
      </c>
    </row>
    <row r="9" spans="1:1" x14ac:dyDescent="0.3">
      <c r="A9" s="2" t="s">
        <v>6</v>
      </c>
    </row>
    <row r="10" spans="1:1" x14ac:dyDescent="0.3">
      <c r="A10" s="4" t="s">
        <v>13</v>
      </c>
    </row>
    <row r="11" spans="1:1" x14ac:dyDescent="0.3">
      <c r="A11" s="4" t="s">
        <v>16</v>
      </c>
    </row>
    <row r="12" spans="1:1" x14ac:dyDescent="0.3">
      <c r="A12" s="4"/>
    </row>
    <row r="14" spans="1:1" x14ac:dyDescent="0.3">
      <c r="A14" s="5" t="s">
        <v>11</v>
      </c>
    </row>
    <row r="15" spans="1:1" x14ac:dyDescent="0.3">
      <c r="A15" s="2" t="s">
        <v>7</v>
      </c>
    </row>
    <row r="16" spans="1:1" x14ac:dyDescent="0.3">
      <c r="A16" s="3" t="s">
        <v>8</v>
      </c>
    </row>
    <row r="17" spans="1:1" x14ac:dyDescent="0.3">
      <c r="A17" s="3" t="s">
        <v>9</v>
      </c>
    </row>
    <row r="18" spans="1:1" x14ac:dyDescent="0.3">
      <c r="A18" s="3" t="s">
        <v>15</v>
      </c>
    </row>
    <row r="19" spans="1:1" x14ac:dyDescent="0.3">
      <c r="A19" s="2" t="s">
        <v>6</v>
      </c>
    </row>
    <row r="20" spans="1:1" x14ac:dyDescent="0.3">
      <c r="A20" s="4" t="s">
        <v>18</v>
      </c>
    </row>
    <row r="21" spans="1:1" x14ac:dyDescent="0.3">
      <c r="A21" s="7" t="s">
        <v>12</v>
      </c>
    </row>
    <row r="22" spans="1:1" x14ac:dyDescent="0.3">
      <c r="A22" s="3" t="s">
        <v>14</v>
      </c>
    </row>
    <row r="23" spans="1:1" x14ac:dyDescent="0.3">
      <c r="A23" s="2"/>
    </row>
    <row r="24" spans="1:1" x14ac:dyDescent="0.3">
      <c r="A24" s="4"/>
    </row>
    <row r="25" spans="1:1" x14ac:dyDescent="0.3">
      <c r="A25" s="2"/>
    </row>
    <row r="26" spans="1:1" x14ac:dyDescent="0.3">
      <c r="A26" s="5"/>
    </row>
  </sheetData>
  <pageMargins left="0.7" right="0.7" top="0.75" bottom="0.75" header="0.3" footer="0.3"/>
  <pageSetup paperSize="9"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72"/>
  <sheetViews>
    <sheetView tabSelected="1" zoomScaleNormal="100" workbookViewId="0">
      <selection activeCell="H4" sqref="H4"/>
    </sheetView>
  </sheetViews>
  <sheetFormatPr defaultColWidth="9.109375" defaultRowHeight="14.4" x14ac:dyDescent="0.3"/>
  <cols>
    <col min="1" max="1" width="18.33203125" style="1" bestFit="1" customWidth="1"/>
    <col min="2" max="4" width="22.6640625" customWidth="1"/>
    <col min="5" max="75" width="15.5546875" bestFit="1" customWidth="1"/>
    <col min="76" max="76" width="10.77734375" bestFit="1" customWidth="1"/>
    <col min="77" max="77" width="12" bestFit="1" customWidth="1"/>
  </cols>
  <sheetData>
    <row r="1" spans="1:7" x14ac:dyDescent="0.3">
      <c r="A1" s="9" t="s">
        <v>3</v>
      </c>
      <c r="B1" s="10" t="s">
        <v>0</v>
      </c>
      <c r="C1" s="10" t="s">
        <v>1</v>
      </c>
      <c r="D1" s="11" t="s">
        <v>2</v>
      </c>
      <c r="E1" s="17" t="s">
        <v>21</v>
      </c>
      <c r="F1" s="17" t="s">
        <v>22</v>
      </c>
      <c r="G1" s="17" t="s">
        <v>2</v>
      </c>
    </row>
    <row r="2" spans="1:7" x14ac:dyDescent="0.3">
      <c r="A2" s="12">
        <v>43830</v>
      </c>
      <c r="B2" s="13">
        <v>150.19999999999999</v>
      </c>
      <c r="C2" s="13">
        <v>320</v>
      </c>
      <c r="D2" s="13">
        <v>1020.32</v>
      </c>
      <c r="E2" s="18">
        <v>0</v>
      </c>
      <c r="F2" s="18">
        <v>0</v>
      </c>
      <c r="G2" s="18">
        <v>0</v>
      </c>
    </row>
    <row r="3" spans="1:7" x14ac:dyDescent="0.3">
      <c r="A3" s="14">
        <v>43861</v>
      </c>
      <c r="B3" s="15">
        <v>153.8251621857159</v>
      </c>
      <c r="C3" s="15">
        <v>321.77702798981352</v>
      </c>
      <c r="D3" s="15">
        <v>1018.474510955245</v>
      </c>
      <c r="E3" s="18">
        <f t="shared" ref="E3:E34" si="0">(B3-B2)/B2</f>
        <v>2.4135567148574621E-2</v>
      </c>
      <c r="F3" s="18">
        <f t="shared" ref="F3:F34" si="1">(C3-C2)/C2</f>
        <v>5.5532124681672455E-3</v>
      </c>
      <c r="G3" s="18">
        <f t="shared" ref="G3:G34" si="2">(D3-D2)/D2</f>
        <v>-1.8087355386104623E-3</v>
      </c>
    </row>
    <row r="4" spans="1:7" x14ac:dyDescent="0.3">
      <c r="A4" s="16">
        <v>43890</v>
      </c>
      <c r="B4" s="8">
        <v>159.95491090407091</v>
      </c>
      <c r="C4" s="8">
        <v>311.94973217439559</v>
      </c>
      <c r="D4" s="8">
        <v>1015.7013899946151</v>
      </c>
      <c r="E4" s="18">
        <f t="shared" si="0"/>
        <v>3.9848803870945776E-2</v>
      </c>
      <c r="F4" s="18">
        <f t="shared" si="1"/>
        <v>-3.0540700424795484E-2</v>
      </c>
      <c r="G4" s="18">
        <f t="shared" si="2"/>
        <v>-2.7228182254939387E-3</v>
      </c>
    </row>
    <row r="5" spans="1:7" x14ac:dyDescent="0.3">
      <c r="A5" s="14">
        <v>43921</v>
      </c>
      <c r="B5" s="15">
        <v>161.81086407325259</v>
      </c>
      <c r="C5" s="15">
        <v>311.63185527831382</v>
      </c>
      <c r="D5" s="15">
        <v>1026.6419229618671</v>
      </c>
      <c r="E5" s="18">
        <f t="shared" si="0"/>
        <v>1.1602977105809133E-2</v>
      </c>
      <c r="F5" s="18">
        <f t="shared" si="1"/>
        <v>-1.0190003814590917E-3</v>
      </c>
      <c r="G5" s="18">
        <f t="shared" si="2"/>
        <v>1.0771406906620472E-2</v>
      </c>
    </row>
    <row r="6" spans="1:7" x14ac:dyDescent="0.3">
      <c r="A6" s="16">
        <v>43951</v>
      </c>
      <c r="B6" s="8">
        <v>156.82647334001231</v>
      </c>
      <c r="C6" s="8">
        <v>311.58916063188008</v>
      </c>
      <c r="D6" s="8">
        <v>1005.5880217169261</v>
      </c>
      <c r="E6" s="18">
        <f t="shared" si="0"/>
        <v>-3.0803807654001626E-2</v>
      </c>
      <c r="F6" s="18">
        <f t="shared" si="1"/>
        <v>-1.3700347288185543E-4</v>
      </c>
      <c r="G6" s="18">
        <f t="shared" si="2"/>
        <v>-2.050754091962308E-2</v>
      </c>
    </row>
    <row r="7" spans="1:7" x14ac:dyDescent="0.3">
      <c r="A7" s="14">
        <v>43982</v>
      </c>
      <c r="B7" s="15">
        <v>157.4793510202106</v>
      </c>
      <c r="C7" s="15">
        <v>310.13595831120432</v>
      </c>
      <c r="D7" s="15">
        <v>1021.515341544825</v>
      </c>
      <c r="E7" s="18">
        <f t="shared" si="0"/>
        <v>4.1630578453600514E-3</v>
      </c>
      <c r="F7" s="18">
        <f t="shared" si="1"/>
        <v>-4.6638410582985909E-3</v>
      </c>
      <c r="G7" s="18">
        <f t="shared" si="2"/>
        <v>1.5838812201347498E-2</v>
      </c>
    </row>
    <row r="8" spans="1:7" x14ac:dyDescent="0.3">
      <c r="A8" s="16">
        <v>44012</v>
      </c>
      <c r="B8" s="8">
        <v>153.82204334723011</v>
      </c>
      <c r="C8" s="8">
        <v>322.92982616800458</v>
      </c>
      <c r="D8" s="8">
        <v>1048.92224535318</v>
      </c>
      <c r="E8" s="18">
        <f t="shared" si="0"/>
        <v>-2.3224045878314052E-2</v>
      </c>
      <c r="F8" s="18">
        <f t="shared" si="1"/>
        <v>4.1252449172508789E-2</v>
      </c>
      <c r="G8" s="18">
        <f t="shared" si="2"/>
        <v>2.6829654625556427E-2</v>
      </c>
    </row>
    <row r="9" spans="1:7" x14ac:dyDescent="0.3">
      <c r="A9" s="14">
        <v>44043</v>
      </c>
      <c r="B9" s="15">
        <v>146.06520044812081</v>
      </c>
      <c r="C9" s="15">
        <v>328.21635323760938</v>
      </c>
      <c r="D9" s="15">
        <v>1051.8338974248211</v>
      </c>
      <c r="E9" s="18">
        <f t="shared" si="0"/>
        <v>-5.0427381734875258E-2</v>
      </c>
      <c r="F9" s="18">
        <f t="shared" si="1"/>
        <v>1.6370513471414314E-2</v>
      </c>
      <c r="G9" s="18">
        <f t="shared" si="2"/>
        <v>2.7758511982561239E-3</v>
      </c>
    </row>
    <row r="10" spans="1:7" x14ac:dyDescent="0.3">
      <c r="A10" s="16">
        <v>44074</v>
      </c>
      <c r="B10" s="8">
        <v>146.5617431975524</v>
      </c>
      <c r="C10" s="8">
        <v>316.49741728641612</v>
      </c>
      <c r="D10" s="8">
        <v>1005.935310669311</v>
      </c>
      <c r="E10" s="18">
        <f t="shared" si="0"/>
        <v>3.3994596105590444E-3</v>
      </c>
      <c r="F10" s="18">
        <f t="shared" si="1"/>
        <v>-3.5704911822932346E-2</v>
      </c>
      <c r="G10" s="18">
        <f t="shared" si="2"/>
        <v>-4.363672521667393E-2</v>
      </c>
    </row>
    <row r="11" spans="1:7" x14ac:dyDescent="0.3">
      <c r="A11" s="14">
        <v>44104</v>
      </c>
      <c r="B11" s="15">
        <v>152.06000378514261</v>
      </c>
      <c r="C11" s="15">
        <v>318.41735331262839</v>
      </c>
      <c r="D11" s="15">
        <v>1017.16141075932</v>
      </c>
      <c r="E11" s="18">
        <f t="shared" si="0"/>
        <v>3.7514978108434717E-2</v>
      </c>
      <c r="F11" s="18">
        <f t="shared" si="1"/>
        <v>6.0661980836159953E-3</v>
      </c>
      <c r="G11" s="18">
        <f t="shared" si="2"/>
        <v>1.115986283704427E-2</v>
      </c>
    </row>
    <row r="12" spans="1:7" x14ac:dyDescent="0.3">
      <c r="A12" s="16">
        <v>44135</v>
      </c>
      <c r="B12" s="8">
        <v>151.1560317320195</v>
      </c>
      <c r="C12" s="8">
        <v>317.93408987488141</v>
      </c>
      <c r="D12" s="8">
        <v>1035.198598708542</v>
      </c>
      <c r="E12" s="18">
        <f t="shared" si="0"/>
        <v>-5.944837765494238E-3</v>
      </c>
      <c r="F12" s="18">
        <f t="shared" si="1"/>
        <v>-1.5177044615169166E-3</v>
      </c>
      <c r="G12" s="18">
        <f t="shared" si="2"/>
        <v>1.7732866935796447E-2</v>
      </c>
    </row>
    <row r="13" spans="1:7" x14ac:dyDescent="0.3">
      <c r="A13" s="14">
        <v>44165</v>
      </c>
      <c r="B13" s="15">
        <v>157.52424281542179</v>
      </c>
      <c r="C13" s="15">
        <v>330.69692306981187</v>
      </c>
      <c r="D13" s="15">
        <v>1035.762763847013</v>
      </c>
      <c r="E13" s="18">
        <f t="shared" si="0"/>
        <v>4.2130049396191603E-2</v>
      </c>
      <c r="F13" s="18">
        <f t="shared" si="1"/>
        <v>4.0143015805424023E-2</v>
      </c>
      <c r="G13" s="18">
        <f t="shared" si="2"/>
        <v>5.4498251753320364E-4</v>
      </c>
    </row>
    <row r="14" spans="1:7" x14ac:dyDescent="0.3">
      <c r="A14" s="16">
        <v>44196</v>
      </c>
      <c r="B14" s="8">
        <v>170.95807437973281</v>
      </c>
      <c r="C14" s="8">
        <v>338.05252361640902</v>
      </c>
      <c r="D14" s="8">
        <v>1067.3675239272559</v>
      </c>
      <c r="E14" s="18">
        <f t="shared" si="0"/>
        <v>8.528104197937357E-2</v>
      </c>
      <c r="F14" s="18">
        <f t="shared" si="1"/>
        <v>2.2242724481123577E-2</v>
      </c>
      <c r="G14" s="18">
        <f t="shared" si="2"/>
        <v>3.0513512537230978E-2</v>
      </c>
    </row>
    <row r="15" spans="1:7" x14ac:dyDescent="0.3">
      <c r="A15" s="14">
        <v>44227</v>
      </c>
      <c r="B15" s="15">
        <v>182.04854950273619</v>
      </c>
      <c r="C15" s="15">
        <v>343.84029968633092</v>
      </c>
      <c r="D15" s="15">
        <v>1069.371531479333</v>
      </c>
      <c r="E15" s="18">
        <f t="shared" si="0"/>
        <v>6.4872485041971031E-2</v>
      </c>
      <c r="F15" s="18">
        <f t="shared" si="1"/>
        <v>1.7120937326559765E-2</v>
      </c>
      <c r="G15" s="18">
        <f t="shared" si="2"/>
        <v>1.8775234463792193E-3</v>
      </c>
    </row>
    <row r="16" spans="1:7" x14ac:dyDescent="0.3">
      <c r="A16" s="16">
        <v>44255</v>
      </c>
      <c r="B16" s="8">
        <v>181.58956515062849</v>
      </c>
      <c r="C16" s="8">
        <v>359.9138983702594</v>
      </c>
      <c r="D16" s="8">
        <v>1106.651060463196</v>
      </c>
      <c r="E16" s="18">
        <f t="shared" si="0"/>
        <v>-2.5212194953566887E-3</v>
      </c>
      <c r="F16" s="18">
        <f t="shared" si="1"/>
        <v>4.6747279765029452E-2</v>
      </c>
      <c r="G16" s="18">
        <f t="shared" si="2"/>
        <v>3.4861157124962655E-2</v>
      </c>
    </row>
    <row r="17" spans="1:7" x14ac:dyDescent="0.3">
      <c r="A17" s="14">
        <v>44286</v>
      </c>
      <c r="B17" s="15">
        <v>194.94272994286891</v>
      </c>
      <c r="C17" s="15">
        <v>373.04579320129329</v>
      </c>
      <c r="D17" s="15">
        <v>1122.750921417168</v>
      </c>
      <c r="E17" s="18">
        <f t="shared" si="0"/>
        <v>7.3534868488527819E-2</v>
      </c>
      <c r="F17" s="18">
        <f t="shared" si="1"/>
        <v>3.6486212092661466E-2</v>
      </c>
      <c r="G17" s="18">
        <f t="shared" si="2"/>
        <v>1.454827228668925E-2</v>
      </c>
    </row>
    <row r="18" spans="1:7" x14ac:dyDescent="0.3">
      <c r="A18" s="16">
        <v>44316</v>
      </c>
      <c r="B18" s="8">
        <v>195.91272793014889</v>
      </c>
      <c r="C18" s="8">
        <v>375.96085889608997</v>
      </c>
      <c r="D18" s="8">
        <v>1117.8596992487589</v>
      </c>
      <c r="E18" s="18">
        <f t="shared" si="0"/>
        <v>4.9758100113005237E-3</v>
      </c>
      <c r="F18" s="18">
        <f t="shared" si="1"/>
        <v>7.8142301774295278E-3</v>
      </c>
      <c r="G18" s="18">
        <f t="shared" si="2"/>
        <v>-4.3564623952703765E-3</v>
      </c>
    </row>
    <row r="19" spans="1:7" x14ac:dyDescent="0.3">
      <c r="A19" s="14">
        <v>44347</v>
      </c>
      <c r="B19" s="15">
        <v>196.85062186956421</v>
      </c>
      <c r="C19" s="15">
        <v>370.95441726223191</v>
      </c>
      <c r="D19" s="15">
        <v>1107.070181525195</v>
      </c>
      <c r="E19" s="18">
        <f t="shared" si="0"/>
        <v>4.787304782717927E-3</v>
      </c>
      <c r="F19" s="18">
        <f t="shared" si="1"/>
        <v>-1.3316390564055409E-2</v>
      </c>
      <c r="G19" s="18">
        <f t="shared" si="2"/>
        <v>-9.651942664016637E-3</v>
      </c>
    </row>
    <row r="20" spans="1:7" x14ac:dyDescent="0.3">
      <c r="A20" s="16">
        <v>44377</v>
      </c>
      <c r="B20" s="8">
        <v>197.82353360275741</v>
      </c>
      <c r="C20" s="8">
        <v>371.55536572767488</v>
      </c>
      <c r="D20" s="8">
        <v>1124.744240296146</v>
      </c>
      <c r="E20" s="18">
        <f t="shared" si="0"/>
        <v>4.9423858759149071E-3</v>
      </c>
      <c r="F20" s="18">
        <f t="shared" si="1"/>
        <v>1.6200062257734245E-3</v>
      </c>
      <c r="G20" s="18">
        <f t="shared" si="2"/>
        <v>1.596471395029507E-2</v>
      </c>
    </row>
    <row r="21" spans="1:7" x14ac:dyDescent="0.3">
      <c r="A21" s="14">
        <v>44408</v>
      </c>
      <c r="B21" s="15">
        <v>190.37513886987091</v>
      </c>
      <c r="C21" s="15">
        <v>383.33208946103952</v>
      </c>
      <c r="D21" s="15">
        <v>1126.2520673157601</v>
      </c>
      <c r="E21" s="18">
        <f t="shared" si="0"/>
        <v>-3.7651712095302887E-2</v>
      </c>
      <c r="F21" s="18">
        <f t="shared" si="1"/>
        <v>3.1695743944648566E-2</v>
      </c>
      <c r="G21" s="18">
        <f t="shared" si="2"/>
        <v>1.3405954576989497E-3</v>
      </c>
    </row>
    <row r="22" spans="1:7" x14ac:dyDescent="0.3">
      <c r="A22" s="16">
        <v>44439</v>
      </c>
      <c r="B22" s="8">
        <v>193.4107695451296</v>
      </c>
      <c r="C22" s="8">
        <v>383.98952227845058</v>
      </c>
      <c r="D22" s="8">
        <v>1117.9301818563661</v>
      </c>
      <c r="E22" s="18">
        <f t="shared" si="0"/>
        <v>1.5945520477511844E-2</v>
      </c>
      <c r="F22" s="18">
        <f t="shared" si="1"/>
        <v>1.7150476975079396E-3</v>
      </c>
      <c r="G22" s="18">
        <f t="shared" si="2"/>
        <v>-7.3890079325029745E-3</v>
      </c>
    </row>
    <row r="23" spans="1:7" x14ac:dyDescent="0.3">
      <c r="A23" s="14">
        <v>44469</v>
      </c>
      <c r="B23" s="15">
        <v>189.8262677380078</v>
      </c>
      <c r="C23" s="15">
        <v>386.71394216564909</v>
      </c>
      <c r="D23" s="15">
        <v>1123.9852829584879</v>
      </c>
      <c r="E23" s="18">
        <f t="shared" si="0"/>
        <v>-1.8533103485146959E-2</v>
      </c>
      <c r="F23" s="18">
        <f t="shared" si="1"/>
        <v>7.0950370495341027E-3</v>
      </c>
      <c r="G23" s="18">
        <f t="shared" si="2"/>
        <v>5.4163499656723867E-3</v>
      </c>
    </row>
    <row r="24" spans="1:7" x14ac:dyDescent="0.3">
      <c r="A24" s="16">
        <v>44500</v>
      </c>
      <c r="B24" s="8">
        <v>188.1382039493422</v>
      </c>
      <c r="C24" s="8">
        <v>387.11104287685879</v>
      </c>
      <c r="D24" s="8">
        <v>1108.8031584462519</v>
      </c>
      <c r="E24" s="18">
        <f t="shared" si="0"/>
        <v>-8.892677545530284E-3</v>
      </c>
      <c r="F24" s="18">
        <f t="shared" si="1"/>
        <v>1.0268590498338031E-3</v>
      </c>
      <c r="G24" s="18">
        <f t="shared" si="2"/>
        <v>-1.3507405072310637E-2</v>
      </c>
    </row>
    <row r="25" spans="1:7" x14ac:dyDescent="0.3">
      <c r="A25" s="14">
        <v>44530</v>
      </c>
      <c r="B25" s="15">
        <v>190.32642016722329</v>
      </c>
      <c r="C25" s="15">
        <v>406.38079302099533</v>
      </c>
      <c r="D25" s="15">
        <v>1143.7694056543189</v>
      </c>
      <c r="E25" s="18">
        <f t="shared" si="0"/>
        <v>1.1630897775925868E-2</v>
      </c>
      <c r="F25" s="18">
        <f t="shared" si="1"/>
        <v>4.9778353004169669E-2</v>
      </c>
      <c r="G25" s="18">
        <f t="shared" si="2"/>
        <v>3.1535125907347368E-2</v>
      </c>
    </row>
    <row r="26" spans="1:7" x14ac:dyDescent="0.3">
      <c r="A26" s="16">
        <v>44561</v>
      </c>
      <c r="B26" s="8">
        <v>201.58722321273899</v>
      </c>
      <c r="C26" s="8">
        <v>416.43685063239298</v>
      </c>
      <c r="D26" s="8">
        <v>1187.9121107053761</v>
      </c>
      <c r="E26" s="18">
        <f t="shared" si="0"/>
        <v>5.9165737660708435E-2</v>
      </c>
      <c r="F26" s="18">
        <f t="shared" si="1"/>
        <v>2.4745405747751741E-2</v>
      </c>
      <c r="G26" s="18">
        <f t="shared" si="2"/>
        <v>3.8594059985198124E-2</v>
      </c>
    </row>
    <row r="27" spans="1:7" x14ac:dyDescent="0.3">
      <c r="A27" s="14">
        <v>44592</v>
      </c>
      <c r="B27" s="15">
        <v>199.1318050809864</v>
      </c>
      <c r="C27" s="15">
        <v>412.14354927291402</v>
      </c>
      <c r="D27" s="15">
        <v>1194.245658059845</v>
      </c>
      <c r="E27" s="18">
        <f t="shared" si="0"/>
        <v>-1.2180425389169348E-2</v>
      </c>
      <c r="F27" s="18">
        <f t="shared" si="1"/>
        <v>-1.0309609615381625E-2</v>
      </c>
      <c r="G27" s="18">
        <f t="shared" si="2"/>
        <v>5.3316632580739428E-3</v>
      </c>
    </row>
    <row r="28" spans="1:7" x14ac:dyDescent="0.3">
      <c r="A28" s="16">
        <v>44620</v>
      </c>
      <c r="B28" s="8">
        <v>205.8455810831793</v>
      </c>
      <c r="C28" s="8">
        <v>422.95989707442652</v>
      </c>
      <c r="D28" s="8">
        <v>1205.836885402181</v>
      </c>
      <c r="E28" s="18">
        <f t="shared" si="0"/>
        <v>3.3715236998240562E-2</v>
      </c>
      <c r="F28" s="18">
        <f t="shared" si="1"/>
        <v>2.6244127369199989E-2</v>
      </c>
      <c r="G28" s="18">
        <f t="shared" si="2"/>
        <v>9.7058986684254878E-3</v>
      </c>
    </row>
    <row r="29" spans="1:7" x14ac:dyDescent="0.3">
      <c r="A29" s="14">
        <v>44651</v>
      </c>
      <c r="B29" s="15">
        <v>214.8236162975179</v>
      </c>
      <c r="C29" s="15">
        <v>425.74412176458429</v>
      </c>
      <c r="D29" s="15">
        <v>1215.816817616859</v>
      </c>
      <c r="E29" s="18">
        <f t="shared" si="0"/>
        <v>4.3615389590076777E-2</v>
      </c>
      <c r="F29" s="18">
        <f t="shared" si="1"/>
        <v>6.5827155468307728E-3</v>
      </c>
      <c r="G29" s="18">
        <f t="shared" si="2"/>
        <v>8.2763534069115897E-3</v>
      </c>
    </row>
    <row r="30" spans="1:7" x14ac:dyDescent="0.3">
      <c r="A30" s="16">
        <v>44681</v>
      </c>
      <c r="B30" s="8">
        <v>228.00840663134929</v>
      </c>
      <c r="C30" s="8">
        <v>423.79980904199653</v>
      </c>
      <c r="D30" s="8">
        <v>1222.7023483916601</v>
      </c>
      <c r="E30" s="18">
        <f t="shared" si="0"/>
        <v>6.1374957563190995E-2</v>
      </c>
      <c r="F30" s="18">
        <f t="shared" si="1"/>
        <v>-4.5668574695269136E-3</v>
      </c>
      <c r="G30" s="18">
        <f t="shared" si="2"/>
        <v>5.66329620961938E-3</v>
      </c>
    </row>
    <row r="31" spans="1:7" x14ac:dyDescent="0.3">
      <c r="A31" s="14">
        <v>44712</v>
      </c>
      <c r="B31" s="15">
        <v>223.4108671046566</v>
      </c>
      <c r="C31" s="15">
        <v>417.61361848800738</v>
      </c>
      <c r="D31" s="15">
        <v>1189.2158436201</v>
      </c>
      <c r="E31" s="18">
        <f t="shared" si="0"/>
        <v>-2.0163903579775121E-2</v>
      </c>
      <c r="F31" s="18">
        <f t="shared" si="1"/>
        <v>-1.4596963995743867E-2</v>
      </c>
      <c r="G31" s="18">
        <f t="shared" si="2"/>
        <v>-2.7387290795350228E-2</v>
      </c>
    </row>
    <row r="32" spans="1:7" x14ac:dyDescent="0.3">
      <c r="A32" s="16">
        <v>44742</v>
      </c>
      <c r="B32" s="8">
        <v>219.23284393984079</v>
      </c>
      <c r="C32" s="8">
        <v>418.84597964597322</v>
      </c>
      <c r="D32" s="8">
        <v>1206.429099314887</v>
      </c>
      <c r="E32" s="18">
        <f t="shared" si="0"/>
        <v>-1.8701074029933474E-2</v>
      </c>
      <c r="F32" s="18">
        <f t="shared" si="1"/>
        <v>2.9509601780412969E-3</v>
      </c>
      <c r="G32" s="18">
        <f t="shared" si="2"/>
        <v>1.4474458768046686E-2</v>
      </c>
    </row>
    <row r="33" spans="1:7" x14ac:dyDescent="0.3">
      <c r="A33" s="14">
        <v>44773</v>
      </c>
      <c r="B33" s="15">
        <v>221.87566257846831</v>
      </c>
      <c r="C33" s="15">
        <v>408.54803369516691</v>
      </c>
      <c r="D33" s="15">
        <v>1180.987811040646</v>
      </c>
      <c r="E33" s="18">
        <f t="shared" si="0"/>
        <v>1.2054848129200602E-2</v>
      </c>
      <c r="F33" s="18">
        <f t="shared" si="1"/>
        <v>-2.4586474387340615E-2</v>
      </c>
      <c r="G33" s="18">
        <f t="shared" si="2"/>
        <v>-2.1088092361738277E-2</v>
      </c>
    </row>
    <row r="34" spans="1:7" x14ac:dyDescent="0.3">
      <c r="A34" s="16">
        <v>44804</v>
      </c>
      <c r="B34" s="8">
        <v>207.87575803878349</v>
      </c>
      <c r="C34" s="8">
        <v>408.12406497129177</v>
      </c>
      <c r="D34" s="8">
        <v>1189.5135994121831</v>
      </c>
      <c r="E34" s="18">
        <f t="shared" si="0"/>
        <v>-6.3097972878091713E-2</v>
      </c>
      <c r="F34" s="18">
        <f t="shared" si="1"/>
        <v>-1.0377451092849304E-3</v>
      </c>
      <c r="G34" s="18">
        <f t="shared" si="2"/>
        <v>7.2192009873704912E-3</v>
      </c>
    </row>
    <row r="35" spans="1:7" x14ac:dyDescent="0.3">
      <c r="A35" s="14">
        <v>44834</v>
      </c>
      <c r="B35" s="15">
        <v>209.6762321816631</v>
      </c>
      <c r="C35" s="15">
        <v>414.81108439757787</v>
      </c>
      <c r="D35" s="15">
        <v>1215.7997266728489</v>
      </c>
      <c r="E35" s="18">
        <f t="shared" ref="E35:E66" si="3">(B35-B34)/B34</f>
        <v>8.6612992292429431E-3</v>
      </c>
      <c r="F35" s="18">
        <f t="shared" ref="F35:F66" si="4">(C35-C34)/C34</f>
        <v>1.6384771201268116E-2</v>
      </c>
      <c r="G35" s="18">
        <f t="shared" ref="G35:G66" si="5">(D35-D34)/D34</f>
        <v>2.2098214996159365E-2</v>
      </c>
    </row>
    <row r="36" spans="1:7" x14ac:dyDescent="0.3">
      <c r="A36" s="16">
        <v>44865</v>
      </c>
      <c r="B36" s="8">
        <v>210.97987246814699</v>
      </c>
      <c r="C36" s="8">
        <v>430.24741541031688</v>
      </c>
      <c r="D36" s="8">
        <v>1242.9642485117829</v>
      </c>
      <c r="E36" s="18">
        <f t="shared" si="3"/>
        <v>6.2173965686030935E-3</v>
      </c>
      <c r="F36" s="18">
        <f t="shared" si="4"/>
        <v>3.7212918346087323E-2</v>
      </c>
      <c r="G36" s="18">
        <f t="shared" si="5"/>
        <v>2.2342924778632964E-2</v>
      </c>
    </row>
    <row r="37" spans="1:7" x14ac:dyDescent="0.3">
      <c r="A37" s="14">
        <v>44895</v>
      </c>
      <c r="B37" s="15">
        <v>214.06901875923589</v>
      </c>
      <c r="C37" s="15">
        <v>441.87820506757231</v>
      </c>
      <c r="D37" s="15">
        <v>1262.440986535709</v>
      </c>
      <c r="E37" s="18">
        <f t="shared" si="3"/>
        <v>1.4641900456903932E-2</v>
      </c>
      <c r="F37" s="18">
        <f t="shared" si="4"/>
        <v>2.7032793784858469E-2</v>
      </c>
      <c r="G37" s="18">
        <f t="shared" si="5"/>
        <v>1.5669588282403051E-2</v>
      </c>
    </row>
    <row r="38" spans="1:7" x14ac:dyDescent="0.3">
      <c r="A38" s="16">
        <v>44926</v>
      </c>
      <c r="B38" s="8">
        <v>217.95187371369329</v>
      </c>
      <c r="C38" s="8">
        <v>435.24320850538879</v>
      </c>
      <c r="D38" s="8">
        <v>1265.9779760572051</v>
      </c>
      <c r="E38" s="18">
        <f t="shared" si="3"/>
        <v>1.8138332099445272E-2</v>
      </c>
      <c r="F38" s="18">
        <f t="shared" si="4"/>
        <v>-1.5015442006624628E-2</v>
      </c>
      <c r="G38" s="18">
        <f t="shared" si="5"/>
        <v>2.8017068197397116E-3</v>
      </c>
    </row>
    <row r="39" spans="1:7" x14ac:dyDescent="0.3">
      <c r="A39" s="14">
        <v>44957</v>
      </c>
      <c r="B39" s="15">
        <v>226.94676121792361</v>
      </c>
      <c r="C39" s="15">
        <v>430.49358250010818</v>
      </c>
      <c r="D39" s="15">
        <v>1247.7260566533089</v>
      </c>
      <c r="E39" s="18">
        <f t="shared" si="3"/>
        <v>4.1270062748101063E-2</v>
      </c>
      <c r="F39" s="18">
        <f t="shared" si="4"/>
        <v>-1.0912579248716324E-2</v>
      </c>
      <c r="G39" s="18">
        <f t="shared" si="5"/>
        <v>-1.441724875873468E-2</v>
      </c>
    </row>
    <row r="40" spans="1:7" x14ac:dyDescent="0.3">
      <c r="A40" s="16">
        <v>44985</v>
      </c>
      <c r="B40" s="8">
        <v>226.90530293082159</v>
      </c>
      <c r="C40" s="8">
        <v>432.45757319890788</v>
      </c>
      <c r="D40" s="8">
        <v>1223.991101590022</v>
      </c>
      <c r="E40" s="18">
        <f t="shared" si="3"/>
        <v>-1.8267846996154006E-4</v>
      </c>
      <c r="F40" s="18">
        <f t="shared" si="4"/>
        <v>4.5621834532207266E-3</v>
      </c>
      <c r="G40" s="18">
        <f t="shared" si="5"/>
        <v>-1.9022569046084944E-2</v>
      </c>
    </row>
    <row r="41" spans="1:7" x14ac:dyDescent="0.3">
      <c r="A41" s="14">
        <v>45016</v>
      </c>
      <c r="B41" s="15">
        <v>239.1124590910334</v>
      </c>
      <c r="C41" s="15">
        <v>439.28674803412832</v>
      </c>
      <c r="D41" s="15">
        <v>1246.913632417868</v>
      </c>
      <c r="E41" s="18">
        <f t="shared" si="3"/>
        <v>5.3798461307594476E-2</v>
      </c>
      <c r="F41" s="18">
        <f t="shared" si="4"/>
        <v>1.5791548717033053E-2</v>
      </c>
      <c r="G41" s="18">
        <f t="shared" si="5"/>
        <v>1.8727694015151383E-2</v>
      </c>
    </row>
    <row r="42" spans="1:7" x14ac:dyDescent="0.3">
      <c r="A42" s="16">
        <v>45046</v>
      </c>
      <c r="B42" s="8">
        <v>244.9917274192953</v>
      </c>
      <c r="C42" s="8">
        <v>443.90067793320151</v>
      </c>
      <c r="D42" s="8">
        <v>1229.396327398747</v>
      </c>
      <c r="E42" s="18">
        <f t="shared" si="3"/>
        <v>2.4587879488218483E-2</v>
      </c>
      <c r="F42" s="18">
        <f t="shared" si="4"/>
        <v>1.0503230338090525E-2</v>
      </c>
      <c r="G42" s="18">
        <f t="shared" si="5"/>
        <v>-1.4048531160216425E-2</v>
      </c>
    </row>
    <row r="43" spans="1:7" x14ac:dyDescent="0.3">
      <c r="A43" s="14">
        <v>45077</v>
      </c>
      <c r="B43" s="15">
        <v>269.48796175008448</v>
      </c>
      <c r="C43" s="15">
        <v>456.89571721355992</v>
      </c>
      <c r="D43" s="15">
        <v>1271.2176352568599</v>
      </c>
      <c r="E43" s="18">
        <f t="shared" si="3"/>
        <v>9.9988006080159092E-2</v>
      </c>
      <c r="F43" s="18">
        <f t="shared" si="4"/>
        <v>2.9274655179314494E-2</v>
      </c>
      <c r="G43" s="18">
        <f t="shared" si="5"/>
        <v>3.4017758900095105E-2</v>
      </c>
    </row>
    <row r="44" spans="1:7" x14ac:dyDescent="0.3">
      <c r="A44" s="16">
        <v>45107</v>
      </c>
      <c r="B44" s="8">
        <v>266.05406588877202</v>
      </c>
      <c r="C44" s="8">
        <v>462.7869370159118</v>
      </c>
      <c r="D44" s="8">
        <v>1281.0093297851599</v>
      </c>
      <c r="E44" s="18">
        <f t="shared" si="3"/>
        <v>-1.2742297796949322E-2</v>
      </c>
      <c r="F44" s="18">
        <f t="shared" si="4"/>
        <v>1.2894014061414893E-2</v>
      </c>
      <c r="G44" s="18">
        <f t="shared" si="5"/>
        <v>7.7026106755681695E-3</v>
      </c>
    </row>
    <row r="45" spans="1:7" x14ac:dyDescent="0.3">
      <c r="A45" s="14">
        <v>45138</v>
      </c>
      <c r="B45" s="15">
        <v>268.66263431415109</v>
      </c>
      <c r="C45" s="15">
        <v>472.61477174140822</v>
      </c>
      <c r="D45" s="15">
        <v>1295.936659622562</v>
      </c>
      <c r="E45" s="18">
        <f t="shared" si="3"/>
        <v>9.8046553683176114E-3</v>
      </c>
      <c r="F45" s="18">
        <f t="shared" si="4"/>
        <v>2.1236197350052926E-2</v>
      </c>
      <c r="G45" s="18">
        <f t="shared" si="5"/>
        <v>1.1652787759091184E-2</v>
      </c>
    </row>
    <row r="46" spans="1:7" x14ac:dyDescent="0.3">
      <c r="A46" s="16">
        <v>45169</v>
      </c>
      <c r="B46" s="8">
        <v>272.43649142857151</v>
      </c>
      <c r="C46" s="8">
        <v>491.95179633475402</v>
      </c>
      <c r="D46" s="8">
        <v>1306.1855165855559</v>
      </c>
      <c r="E46" s="18">
        <f t="shared" si="3"/>
        <v>1.4046825395181666E-2</v>
      </c>
      <c r="F46" s="18">
        <f t="shared" si="4"/>
        <v>4.0914981396150858E-2</v>
      </c>
      <c r="G46" s="18">
        <f t="shared" si="5"/>
        <v>7.9084551601301192E-3</v>
      </c>
    </row>
    <row r="47" spans="1:7" x14ac:dyDescent="0.3">
      <c r="A47" s="14">
        <v>45199</v>
      </c>
      <c r="B47" s="15">
        <v>259.71006234851029</v>
      </c>
      <c r="C47" s="15">
        <v>485.56802891960399</v>
      </c>
      <c r="D47" s="15">
        <v>1297.7205653525939</v>
      </c>
      <c r="E47" s="18">
        <f t="shared" si="3"/>
        <v>-4.6713379009279632E-2</v>
      </c>
      <c r="F47" s="18">
        <f t="shared" si="4"/>
        <v>-1.2976408385357591E-2</v>
      </c>
      <c r="G47" s="18">
        <f t="shared" si="5"/>
        <v>-6.4806653614487043E-3</v>
      </c>
    </row>
    <row r="48" spans="1:7" x14ac:dyDescent="0.3">
      <c r="A48" s="16">
        <v>45230</v>
      </c>
      <c r="B48" s="8">
        <v>258.73405313739028</v>
      </c>
      <c r="C48" s="8">
        <v>480.95974614011402</v>
      </c>
      <c r="D48" s="8">
        <v>1279.0969168235461</v>
      </c>
      <c r="E48" s="18">
        <f t="shared" si="3"/>
        <v>-3.758072376149555E-3</v>
      </c>
      <c r="F48" s="18">
        <f t="shared" si="4"/>
        <v>-9.4904987664518724E-3</v>
      </c>
      <c r="G48" s="18">
        <f t="shared" si="5"/>
        <v>-1.4351046770987828E-2</v>
      </c>
    </row>
    <row r="49" spans="1:7" x14ac:dyDescent="0.3">
      <c r="A49" s="14">
        <v>45260</v>
      </c>
      <c r="B49" s="15">
        <v>265.99559518472068</v>
      </c>
      <c r="C49" s="15">
        <v>484.60471244963071</v>
      </c>
      <c r="D49" s="15">
        <v>1273.534937989604</v>
      </c>
      <c r="E49" s="18">
        <f t="shared" si="3"/>
        <v>2.8065660315205822E-2</v>
      </c>
      <c r="F49" s="18">
        <f t="shared" si="4"/>
        <v>7.5785267660525421E-3</v>
      </c>
      <c r="G49" s="18">
        <f t="shared" si="5"/>
        <v>-4.3483638814128317E-3</v>
      </c>
    </row>
    <row r="50" spans="1:7" x14ac:dyDescent="0.3">
      <c r="A50" s="16">
        <v>45291</v>
      </c>
      <c r="B50" s="8">
        <v>256.6947989192962</v>
      </c>
      <c r="C50" s="8">
        <v>486.0672430324974</v>
      </c>
      <c r="D50" s="8">
        <v>1262.2043213344771</v>
      </c>
      <c r="E50" s="18">
        <f t="shared" si="3"/>
        <v>-3.4965978511657461E-2</v>
      </c>
      <c r="F50" s="18">
        <f t="shared" si="4"/>
        <v>3.0179867122499451E-3</v>
      </c>
      <c r="G50" s="18">
        <f t="shared" si="5"/>
        <v>-8.8969813996728001E-3</v>
      </c>
    </row>
    <row r="51" spans="1:7" x14ac:dyDescent="0.3">
      <c r="A51" s="14">
        <v>45322</v>
      </c>
      <c r="B51" s="15">
        <v>258.51370662395419</v>
      </c>
      <c r="C51" s="15">
        <v>494.17988400599722</v>
      </c>
      <c r="D51" s="15">
        <v>1274.707059172737</v>
      </c>
      <c r="E51" s="18">
        <f t="shared" si="3"/>
        <v>7.0858767388966275E-3</v>
      </c>
      <c r="F51" s="18">
        <f t="shared" si="4"/>
        <v>1.6690367618451978E-2</v>
      </c>
      <c r="G51" s="18">
        <f t="shared" si="5"/>
        <v>9.90547855599265E-3</v>
      </c>
    </row>
    <row r="52" spans="1:7" x14ac:dyDescent="0.3">
      <c r="A52" s="16">
        <v>45351</v>
      </c>
      <c r="B52" s="8">
        <v>262.838193521694</v>
      </c>
      <c r="C52" s="8">
        <v>491.15985772318652</v>
      </c>
      <c r="D52" s="8">
        <v>1281.054800745344</v>
      </c>
      <c r="E52" s="18">
        <f t="shared" si="3"/>
        <v>1.6728269282952946E-2</v>
      </c>
      <c r="F52" s="18">
        <f t="shared" si="4"/>
        <v>-6.1111882141565562E-3</v>
      </c>
      <c r="G52" s="18">
        <f t="shared" si="5"/>
        <v>4.9797649796703624E-3</v>
      </c>
    </row>
    <row r="53" spans="1:7" x14ac:dyDescent="0.3">
      <c r="A53" s="14">
        <v>45382</v>
      </c>
      <c r="B53" s="15">
        <v>274.9190176292571</v>
      </c>
      <c r="C53" s="15">
        <v>491.83897289271022</v>
      </c>
      <c r="D53" s="15">
        <v>1279.837843268316</v>
      </c>
      <c r="E53" s="18">
        <f t="shared" si="3"/>
        <v>4.5962970395190997E-2</v>
      </c>
      <c r="F53" s="18">
        <f t="shared" si="4"/>
        <v>1.3826764521673127E-3</v>
      </c>
      <c r="G53" s="18">
        <f t="shared" si="5"/>
        <v>-9.4996519767926162E-4</v>
      </c>
    </row>
    <row r="54" spans="1:7" x14ac:dyDescent="0.3">
      <c r="A54" s="16">
        <v>45412</v>
      </c>
      <c r="B54" s="8">
        <v>297.38010674505301</v>
      </c>
      <c r="C54" s="8">
        <v>500.02491468539972</v>
      </c>
      <c r="D54" s="8">
        <v>1273.6440420285089</v>
      </c>
      <c r="E54" s="18">
        <f t="shared" si="3"/>
        <v>8.1700747039937002E-2</v>
      </c>
      <c r="F54" s="18">
        <f t="shared" si="4"/>
        <v>1.6643540353348914E-2</v>
      </c>
      <c r="G54" s="18">
        <f t="shared" si="5"/>
        <v>-4.8395203129718081E-3</v>
      </c>
    </row>
    <row r="55" spans="1:7" x14ac:dyDescent="0.3">
      <c r="A55" s="14">
        <v>45443</v>
      </c>
      <c r="B55" s="15">
        <v>306.5368711032483</v>
      </c>
      <c r="C55" s="15">
        <v>492.39136678725299</v>
      </c>
      <c r="D55" s="15">
        <v>1282.18626696243</v>
      </c>
      <c r="E55" s="18">
        <f t="shared" si="3"/>
        <v>3.0791448891520766E-2</v>
      </c>
      <c r="F55" s="18">
        <f t="shared" si="4"/>
        <v>-1.5266335084421791E-2</v>
      </c>
      <c r="G55" s="18">
        <f t="shared" si="5"/>
        <v>6.7069170443540826E-3</v>
      </c>
    </row>
    <row r="56" spans="1:7" x14ac:dyDescent="0.3">
      <c r="A56" s="16">
        <v>45473</v>
      </c>
      <c r="B56" s="8">
        <v>313.84571460757189</v>
      </c>
      <c r="C56" s="8">
        <v>500.68369368767083</v>
      </c>
      <c r="D56" s="8">
        <v>1299.044939736219</v>
      </c>
      <c r="E56" s="18">
        <f t="shared" si="3"/>
        <v>2.3843276921365238E-2</v>
      </c>
      <c r="F56" s="18">
        <f t="shared" si="4"/>
        <v>1.6840926668807113E-2</v>
      </c>
      <c r="G56" s="18">
        <f t="shared" si="5"/>
        <v>1.3148380393847294E-2</v>
      </c>
    </row>
    <row r="57" spans="1:7" x14ac:dyDescent="0.3">
      <c r="A57" s="14">
        <v>45504</v>
      </c>
      <c r="B57" s="15">
        <v>342.43347113928257</v>
      </c>
      <c r="C57" s="15">
        <v>493.51732591881421</v>
      </c>
      <c r="D57" s="15">
        <v>1275.4717971020591</v>
      </c>
      <c r="E57" s="18">
        <f t="shared" si="3"/>
        <v>9.1088567411080942E-2</v>
      </c>
      <c r="F57" s="18">
        <f t="shared" si="4"/>
        <v>-1.4313163898097779E-2</v>
      </c>
      <c r="G57" s="18">
        <f t="shared" si="5"/>
        <v>-1.8146518194317916E-2</v>
      </c>
    </row>
    <row r="58" spans="1:7" x14ac:dyDescent="0.3">
      <c r="A58" s="16">
        <v>45535</v>
      </c>
      <c r="B58" s="8">
        <v>328.1562962895531</v>
      </c>
      <c r="C58" s="8">
        <v>493.13933530375812</v>
      </c>
      <c r="D58" s="8">
        <v>1294.3379009852999</v>
      </c>
      <c r="E58" s="18">
        <f t="shared" si="3"/>
        <v>-4.1693280748021061E-2</v>
      </c>
      <c r="F58" s="18">
        <f t="shared" si="4"/>
        <v>-7.659115398884152E-4</v>
      </c>
      <c r="G58" s="18">
        <f t="shared" si="5"/>
        <v>1.4791470831503799E-2</v>
      </c>
    </row>
    <row r="59" spans="1:7" x14ac:dyDescent="0.3">
      <c r="A59" s="14">
        <v>45565</v>
      </c>
      <c r="B59" s="15">
        <v>308.76082148273548</v>
      </c>
      <c r="C59" s="15">
        <v>482.20029201849388</v>
      </c>
      <c r="D59" s="15">
        <v>1308.397585337535</v>
      </c>
      <c r="E59" s="18">
        <f t="shared" si="3"/>
        <v>-5.910438113216563E-2</v>
      </c>
      <c r="F59" s="18">
        <f t="shared" si="4"/>
        <v>-2.2182459402728706E-2</v>
      </c>
      <c r="G59" s="18">
        <f t="shared" si="5"/>
        <v>1.0862452796547413E-2</v>
      </c>
    </row>
    <row r="60" spans="1:7" x14ac:dyDescent="0.3">
      <c r="A60" s="16">
        <v>45596</v>
      </c>
      <c r="B60" s="8">
        <v>322.10492173986142</v>
      </c>
      <c r="C60" s="8">
        <v>484.63946958557119</v>
      </c>
      <c r="D60" s="8">
        <v>1300.22553369498</v>
      </c>
      <c r="E60" s="18">
        <f t="shared" si="3"/>
        <v>4.3218243147057071E-2</v>
      </c>
      <c r="F60" s="18">
        <f t="shared" si="4"/>
        <v>5.0584323722967766E-3</v>
      </c>
      <c r="G60" s="18">
        <f t="shared" si="5"/>
        <v>-6.2458473893062631E-3</v>
      </c>
    </row>
    <row r="61" spans="1:7" x14ac:dyDescent="0.3">
      <c r="A61" s="14">
        <v>45626</v>
      </c>
      <c r="B61" s="15">
        <v>341.95034039201192</v>
      </c>
      <c r="C61" s="15">
        <v>496.8821830151802</v>
      </c>
      <c r="D61" s="15">
        <v>1313.744894425241</v>
      </c>
      <c r="E61" s="18">
        <f t="shared" si="3"/>
        <v>6.1611659160483327E-2</v>
      </c>
      <c r="F61" s="18">
        <f t="shared" si="4"/>
        <v>2.5261486523328568E-2</v>
      </c>
      <c r="G61" s="18">
        <f t="shared" si="5"/>
        <v>1.0397704382747916E-2</v>
      </c>
    </row>
    <row r="62" spans="1:7" x14ac:dyDescent="0.3">
      <c r="A62" s="16">
        <v>45657</v>
      </c>
      <c r="B62" s="8">
        <v>358.59862015956043</v>
      </c>
      <c r="C62" s="8">
        <v>500.74160690274499</v>
      </c>
      <c r="D62" s="8">
        <v>1314.6947701489919</v>
      </c>
      <c r="E62" s="18">
        <f t="shared" si="3"/>
        <v>4.8686250022336314E-2</v>
      </c>
      <c r="F62" s="18">
        <f t="shared" si="4"/>
        <v>7.7672817007545603E-3</v>
      </c>
      <c r="G62" s="18">
        <f t="shared" si="5"/>
        <v>7.2302905060305487E-4</v>
      </c>
    </row>
    <row r="63" spans="1:7" x14ac:dyDescent="0.3">
      <c r="A63" s="14">
        <v>45688</v>
      </c>
      <c r="B63" s="15">
        <v>371.76376348367143</v>
      </c>
      <c r="C63" s="15">
        <v>512.0056877345371</v>
      </c>
      <c r="D63" s="15">
        <v>1323.5562612610181</v>
      </c>
      <c r="E63" s="18">
        <f t="shared" si="3"/>
        <v>3.6712755108352334E-2</v>
      </c>
      <c r="F63" s="18">
        <f t="shared" si="4"/>
        <v>2.2494797070018283E-2</v>
      </c>
      <c r="G63" s="18">
        <f t="shared" si="5"/>
        <v>6.7403410382639297E-3</v>
      </c>
    </row>
    <row r="64" spans="1:7" x14ac:dyDescent="0.3">
      <c r="A64" s="16">
        <v>45716</v>
      </c>
      <c r="B64" s="8">
        <v>352.68582165434708</v>
      </c>
      <c r="C64" s="8">
        <v>500.53810230435369</v>
      </c>
      <c r="D64" s="8">
        <v>1320.0275966938791</v>
      </c>
      <c r="E64" s="18">
        <f t="shared" si="3"/>
        <v>-5.1317378677662021E-2</v>
      </c>
      <c r="F64" s="18">
        <f t="shared" si="4"/>
        <v>-2.2397378984057484E-2</v>
      </c>
      <c r="G64" s="18">
        <f t="shared" si="5"/>
        <v>-2.6660480331807492E-3</v>
      </c>
    </row>
    <row r="65" spans="1:7" x14ac:dyDescent="0.3">
      <c r="A65" s="14">
        <v>45747</v>
      </c>
      <c r="B65" s="15">
        <v>370.93730639719018</v>
      </c>
      <c r="C65" s="15">
        <v>512.3871193575327</v>
      </c>
      <c r="D65" s="15">
        <v>1341.329957505453</v>
      </c>
      <c r="E65" s="18">
        <f t="shared" si="3"/>
        <v>5.1749981491262316E-2</v>
      </c>
      <c r="F65" s="18">
        <f t="shared" si="4"/>
        <v>2.3672557590778937E-2</v>
      </c>
      <c r="G65" s="18">
        <f t="shared" si="5"/>
        <v>1.6137814743364023E-2</v>
      </c>
    </row>
    <row r="66" spans="1:7" x14ac:dyDescent="0.3">
      <c r="A66" s="16">
        <v>45777</v>
      </c>
      <c r="B66" s="8">
        <v>380.25150586203512</v>
      </c>
      <c r="C66" s="8">
        <v>525.82212575097253</v>
      </c>
      <c r="D66" s="8">
        <v>1357.4434763308629</v>
      </c>
      <c r="E66" s="18">
        <f t="shared" si="3"/>
        <v>2.5109902143063297E-2</v>
      </c>
      <c r="F66" s="18">
        <f t="shared" si="4"/>
        <v>2.6220421798045193E-2</v>
      </c>
      <c r="G66" s="18">
        <f t="shared" si="5"/>
        <v>1.2013090988720779E-2</v>
      </c>
    </row>
    <row r="67" spans="1:7" x14ac:dyDescent="0.3">
      <c r="A67" s="14">
        <v>45808</v>
      </c>
      <c r="B67" s="15">
        <v>373.64891259666979</v>
      </c>
      <c r="C67" s="15">
        <v>524.80839650111011</v>
      </c>
      <c r="D67" s="15">
        <v>1368.066283860986</v>
      </c>
      <c r="E67" s="18">
        <f t="shared" ref="E67:E72" si="6">(B67-B66)/B66</f>
        <v>-1.7363753104401688E-2</v>
      </c>
      <c r="F67" s="18">
        <f t="shared" ref="F67:F72" si="7">(C67-C66)/C66</f>
        <v>-1.9278938641363306E-3</v>
      </c>
      <c r="G67" s="18">
        <f t="shared" ref="G67:G72" si="8">(D67-D66)/D66</f>
        <v>7.8255984247950043E-3</v>
      </c>
    </row>
    <row r="68" spans="1:7" x14ac:dyDescent="0.3">
      <c r="A68" s="16">
        <v>45838</v>
      </c>
      <c r="B68" s="8">
        <v>365.51998851821281</v>
      </c>
      <c r="C68" s="8">
        <v>542.21062402290568</v>
      </c>
      <c r="D68" s="8">
        <v>1375.342179831737</v>
      </c>
      <c r="E68" s="18">
        <f t="shared" si="6"/>
        <v>-2.1755513810986601E-2</v>
      </c>
      <c r="F68" s="18">
        <f t="shared" si="7"/>
        <v>3.3159201792151122E-2</v>
      </c>
      <c r="G68" s="18">
        <f t="shared" si="8"/>
        <v>5.3183797134571508E-3</v>
      </c>
    </row>
    <row r="69" spans="1:7" x14ac:dyDescent="0.3">
      <c r="A69" s="14">
        <v>45869</v>
      </c>
      <c r="B69" s="15">
        <v>352.59767765969173</v>
      </c>
      <c r="C69" s="15">
        <v>539.24591573560394</v>
      </c>
      <c r="D69" s="15">
        <v>1388.9097951702649</v>
      </c>
      <c r="E69" s="18">
        <f t="shared" si="6"/>
        <v>-3.5353226265154594E-2</v>
      </c>
      <c r="F69" s="18">
        <f t="shared" si="7"/>
        <v>-5.4678166674515189E-3</v>
      </c>
      <c r="G69" s="18">
        <f t="shared" si="8"/>
        <v>9.8649016495573894E-3</v>
      </c>
    </row>
    <row r="70" spans="1:7" x14ac:dyDescent="0.3">
      <c r="A70" s="16">
        <v>45900</v>
      </c>
      <c r="B70" s="8">
        <v>365.97673562095281</v>
      </c>
      <c r="C70" s="8">
        <v>544.28342150597143</v>
      </c>
      <c r="D70" s="8">
        <v>1390.5160051728869</v>
      </c>
      <c r="E70" s="18">
        <f t="shared" si="6"/>
        <v>3.7944260013458818E-2</v>
      </c>
      <c r="F70" s="18">
        <f t="shared" si="7"/>
        <v>9.3417597117924443E-3</v>
      </c>
      <c r="G70" s="18">
        <f t="shared" si="8"/>
        <v>1.1564537943409699E-3</v>
      </c>
    </row>
    <row r="71" spans="1:7" x14ac:dyDescent="0.3">
      <c r="A71" s="14">
        <v>45930</v>
      </c>
      <c r="B71" s="15">
        <v>387.91196611046792</v>
      </c>
      <c r="C71" s="15">
        <v>567.62235107285574</v>
      </c>
      <c r="D71" s="15">
        <v>1390.166351846708</v>
      </c>
      <c r="E71" s="18">
        <f t="shared" si="6"/>
        <v>5.9936133514873827E-2</v>
      </c>
      <c r="F71" s="18">
        <f t="shared" si="7"/>
        <v>4.2880103719323458E-2</v>
      </c>
      <c r="G71" s="18">
        <f t="shared" si="8"/>
        <v>-2.5145580840360196E-4</v>
      </c>
    </row>
    <row r="72" spans="1:7" x14ac:dyDescent="0.3">
      <c r="A72" s="16">
        <v>45961</v>
      </c>
      <c r="B72" s="8">
        <v>395.47867235666712</v>
      </c>
      <c r="C72" s="8">
        <v>580.12670292159885</v>
      </c>
      <c r="D72" s="8">
        <v>1413.668684742601</v>
      </c>
      <c r="E72" s="18">
        <f t="shared" si="6"/>
        <v>1.9506246022955604E-2</v>
      </c>
      <c r="F72" s="18">
        <f t="shared" si="7"/>
        <v>2.2029350720789619E-2</v>
      </c>
      <c r="G72" s="18">
        <f t="shared" si="8"/>
        <v>1.690612987767422E-2</v>
      </c>
    </row>
  </sheetData>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2</vt:i4>
      </vt:variant>
    </vt:vector>
  </HeadingPairs>
  <TitlesOfParts>
    <vt:vector size="2" baseType="lpstr">
      <vt:lpstr>Tasks</vt:lpstr>
      <vt:lpstr>SimulatedData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2026-10-17T13:19:06Z</dcterms:created>
  <dcterms:modified xsi:type="dcterms:W3CDTF">2026-10-17T13:19:40Z</dcterms:modified>
</cp:coreProperties>
</file>